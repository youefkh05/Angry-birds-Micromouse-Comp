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827"/>
  <workbookPr filterPrivacy="1"/>
  <xr:revisionPtr revIDLastSave="0" documentId="13_ncr:1_{73C8ED46-CFA6-4E84-834A-10F8D88C6726}" xr6:coauthVersionLast="37" xr6:coauthVersionMax="37" xr10:uidLastSave="{00000000-0000-0000-0000-000000000000}"/>
  <bookViews>
    <workbookView xWindow="0" yWindow="0" windowWidth="22260" windowHeight="12648" xr2:uid="{00000000-000D-0000-FFFF-FFFF00000000}"/>
  </bookViews>
  <sheets>
    <sheet name="Sheet1" sheetId="1" r:id="rId1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0" i="1" l="1"/>
  <c r="E44" i="1"/>
  <c r="E43" i="1"/>
  <c r="E42" i="1"/>
  <c r="E41" i="1"/>
  <c r="E24" i="1"/>
  <c r="E28" i="1"/>
  <c r="E29" i="1"/>
  <c r="E30" i="1"/>
  <c r="E31" i="1"/>
  <c r="E32" i="1"/>
  <c r="E33" i="1"/>
  <c r="E34" i="1"/>
  <c r="E35" i="1"/>
  <c r="E36" i="1"/>
  <c r="E37" i="1"/>
  <c r="E38" i="1"/>
  <c r="E39" i="1"/>
  <c r="E5" i="1" l="1"/>
  <c r="E2" i="1"/>
  <c r="E3" i="1" l="1"/>
  <c r="E4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5" i="1"/>
  <c r="E26" i="1"/>
  <c r="E27" i="1"/>
  <c r="J4" i="1" l="1"/>
</calcChain>
</file>

<file path=xl/sharedStrings.xml><?xml version="1.0" encoding="utf-8"?>
<sst xmlns="http://schemas.openxmlformats.org/spreadsheetml/2006/main" count="190" uniqueCount="114">
  <si>
    <t>Name</t>
  </si>
  <si>
    <t>Description</t>
  </si>
  <si>
    <t>cost</t>
  </si>
  <si>
    <t>quantity</t>
  </si>
  <si>
    <t>link</t>
  </si>
  <si>
    <t>total</t>
  </si>
  <si>
    <t>Total cost</t>
  </si>
  <si>
    <t>2WD Robot Car Chassis Kit</t>
  </si>
  <si>
    <t>Robot Smart Car 2WD With Advanced Metal Roller Caster Wheel</t>
  </si>
  <si>
    <t>https://www.ram-e-shop.com/shop/ro-base-2wd-2floor-2wd-robot-car-chassis-kit-with-speed-encoder-wheels-2-floor-7171</t>
  </si>
  <si>
    <t>Sorce</t>
  </si>
  <si>
    <t>Source</t>
  </si>
  <si>
    <t>RAM</t>
  </si>
  <si>
    <t>Future</t>
  </si>
  <si>
    <t>The chassis plates are cut from acrylic with a wide variety of mounting holes for sensors, controllers, power, etc. Simply bolt the two pre-cut platforms together</t>
  </si>
  <si>
    <t>https://store.fut-electronics.com/products/robot-platform-2-gear-motors-2-wheels-castor?_pos=2&amp;_sid=596ca3e3a&amp;_ss=r</t>
  </si>
  <si>
    <t>IR Infrared 3-pin</t>
  </si>
  <si>
    <t>Object Detection Sensor</t>
  </si>
  <si>
    <t>https://www.ram-e-shop.com/shop/kit-object-ir-ir-infrared-3-pin-obstacle-avoidance-sku-object-7079</t>
  </si>
  <si>
    <t>IR Infrared 4-pin</t>
  </si>
  <si>
    <t>https://www.ram-e-shop.com/shop/kit-ky032-4pin-object-ir-infrared-4-pin-obstacle-avoidance-sku-ky032-7751</t>
  </si>
  <si>
    <t>IR LED Receiver</t>
  </si>
  <si>
    <t>5mm Infrared Receiver</t>
  </si>
  <si>
    <t>https://www.ram-e-shop.com/shop/ir-led-black-5mm-ir-led-5mm-infrared-receiver-5960</t>
  </si>
  <si>
    <t>IR LED Transmitter</t>
  </si>
  <si>
    <t>5mm Infrared Transmitter</t>
  </si>
  <si>
    <t>https://www.ram-e-shop.com/shop/ir-led-white-5mm-ir-led-5mm-infrared-transmitter-5662</t>
  </si>
  <si>
    <t>Reflective IR sensor</t>
  </si>
  <si>
    <t>The TCRT5000 Reflective IR sensor photoelectric switch is perfect for line tracking robot car like DIY projects. It include an infrared emitter and phototransistor in a leaded package which blocks visible light.</t>
  </si>
  <si>
    <t>https://store.fut-electronics.com/products/tcrt5000-reflective-ir-sensor?_pos=1&amp;_sid=b6ce8bdf0&amp;_ss=r</t>
  </si>
  <si>
    <t>Line Tracker (Finder) Sensor</t>
  </si>
  <si>
    <t>This is high performance line finder that is designed for line following robotic. It consists two parts - an IR emitting LED and an IR sensitive phototransistor</t>
  </si>
  <si>
    <t>https://store.fut-electronics.com/products/line-tracker-finder-sensor?_pos=4&amp;_sid=32a758820&amp;_ss=r</t>
  </si>
  <si>
    <t>Infrared Obstacle Avoidance Sensor (KY-032)</t>
  </si>
  <si>
    <t>Ky-032 is an infrared obstacle avoisance sensor. I can sense obstacles in front of moving robot at distance up to 40cm. The object (obstacle) detection distance can be adjusted using potentiometer. Infrared is emitted at a certain frequency, </t>
  </si>
  <si>
    <t>https://store.fut-electronics.com/products/infrared-obstacle-avoidance-sensor-ky-032?_pos=7&amp;_sid=32a758820&amp;_ss=r</t>
  </si>
  <si>
    <t>Line Tracker (Follower) Module - KY033</t>
  </si>
  <si>
    <t>KY033 is a fairly accurate  line tracker that is designed for line following 4 wheels and two wheels moving robotics . It consists two parts: an IR emitting LED and an IR sensitive phototransistor.</t>
  </si>
  <si>
    <t>https://store.fut-electronics.com/products/line-tracker-follower-module-ky033?_pos=8&amp;_sid=32a758820&amp;_ss=r</t>
  </si>
  <si>
    <t>https://store.fut-electronics.com/products/dc-geared-motors-for-robots-straight-shaft?_pos=2&amp;_sid=d332ff26a&amp;_ss=r</t>
  </si>
  <si>
    <t>DC Geared Motors for Robots</t>
  </si>
  <si>
    <t>This DC geared motor can be connectid directly to our robot tires without any couplings.</t>
  </si>
  <si>
    <t>https://store.fut-electronics.com/products/micro-servo-motor-1-3kg-cm?_pos=3&amp;_sid=d332ff26a&amp;_ss=r</t>
  </si>
  <si>
    <t>Micro Servo Motor </t>
  </si>
  <si>
    <t>Unlike dc motors, with servo motors you can position the motor shaft at a specific position (angle) using control signal</t>
  </si>
  <si>
    <t>https://store.fut-electronics.com/products/l293d-dual-motor-driver-with-thermal-shutdown?_pos=4&amp;_sid=d332ff26a&amp;_ss=r</t>
  </si>
  <si>
    <t>L293D DUAL Motor Driver</t>
  </si>
  <si>
    <t>L293D ia a PUSH-PULL FOUR CHANNEL DRIVER WITH DIODES  </t>
  </si>
  <si>
    <t>Micro Metal Gear DC Motor</t>
  </si>
  <si>
    <t>N20-6V-30 Rpm Micro Metal Gear Motor is a small volume, big torsion, all metal gear</t>
  </si>
  <si>
    <t>https://store.fut-electronics.com/products/micro-metal-gear-dc-motor-120-rpm?_pos=5&amp;_sid=d332ff26a&amp;_ss=r</t>
  </si>
  <si>
    <t>https://store.fut-electronics.com/products/stepper-motor-driver-board-uln2003?_pos=6&amp;_sid=d332ff26a&amp;_ss=r</t>
  </si>
  <si>
    <t>Stepper Motor Driver Board ULN2003</t>
  </si>
  <si>
    <t>ULN2003 Stepper Motor Driver Board is use the ULN2003 DARLINGTON ARRAYS to drive the 4-phase 5-wire stepper motor (5v-12v), up to 0.5A.</t>
  </si>
  <si>
    <t>https://store.fut-electronics.com/products/simple-dc-motor?_pos=8&amp;_sid=d332ff26a&amp;_ss=r</t>
  </si>
  <si>
    <t>Simple DC Motor</t>
  </si>
  <si>
    <t>Max Speed: 12800 RPM</t>
  </si>
  <si>
    <t>Mini Vibration Motor</t>
  </si>
  <si>
    <t>https://store.fut-electronics.com/products/mini-vibration-motor?_pos=9&amp;_sid=d332ff26a&amp;_ss=r</t>
  </si>
  <si>
    <t>This low cost vibration motor  can be used in many applications. </t>
  </si>
  <si>
    <t>https://store.fut-electronics.com/products/l298-dual-motor-driver-module-2a?_pos=10&amp;_sid=d332ff26a&amp;_ss=r</t>
  </si>
  <si>
    <t>L298 Dual Motor Driver Module 2A</t>
  </si>
  <si>
    <t>This driver module is based on L298N H-bridge, a high current, high voltage dual full bridge driver manufactured by ST company.</t>
  </si>
  <si>
    <t>Type</t>
  </si>
  <si>
    <t>chassis</t>
  </si>
  <si>
    <t>IR sensor</t>
  </si>
  <si>
    <t>Motor</t>
  </si>
  <si>
    <t>Wheel</t>
  </si>
  <si>
    <t>Controller</t>
  </si>
  <si>
    <t>Motor Driver</t>
  </si>
  <si>
    <t>25GA370 DC Geared</t>
  </si>
  <si>
    <t>https://www.ram-e-shop.com/shop/dc-jga25-370-enc-12v130r-25ga370-dc-geared-motor-with-encoder-12vdc-130-rpm-9331</t>
  </si>
  <si>
    <t>25GA370 DC Geared Motor With Encoder 12Vdc 130 rpm</t>
  </si>
  <si>
    <t>DC Geared Motor JGB37555</t>
  </si>
  <si>
    <t>DC Geared Motor 12Vdc 267 rpm - Model JGB37555-18.75K</t>
  </si>
  <si>
    <t>https://www.ram-e-shop.com/shop/dc-jgb37555-12v267r-dc-geared-motor-12vdc-267-rpm-model-jgb37555-18-75k-9333</t>
  </si>
  <si>
    <t>https://www.ram-e-shop.com/shop/dc-sg555123000-10k-dc-geared-motor-12vdc-300-rpm-0-13-n-m-model-sg555123000-10k-6688</t>
  </si>
  <si>
    <t>DC Geared Motor SG555123000</t>
  </si>
  <si>
    <t>DC Geared Motor 12Vdc 300 rpm 0.13 N.m - Model SG555123000-10K</t>
  </si>
  <si>
    <t>https://www.ram-e-shop.com/shop/dc-motor-27127600-186k-dc-geared-motor-12vdc-50-rpm-0-127-n-m-model-dcm27127600-186k-6245</t>
  </si>
  <si>
    <t>DC Geared Motor DCM27127600</t>
  </si>
  <si>
    <t>DC Geared Motor 12Vdc 50 rpm 0.127 N.m - Model DCM27127600-186K</t>
  </si>
  <si>
    <t>DC Motor 775</t>
  </si>
  <si>
    <t>DC Motor 12V 80W 13000 rpm - Model 775 Motor (High Speed Motor)</t>
  </si>
  <si>
    <t>https://www.ram-e-shop.com/shop/dc-775-80w-13000rpm-dc-motor-12v-80w-13000-rpm-model-775-motor-high-speed-motor-7871</t>
  </si>
  <si>
    <t xml:space="preserve">DC Motor RS390 </t>
  </si>
  <si>
    <t>DC Motor 6V 18000 rpm - Model RS390 Motor (High Speed Motor)</t>
  </si>
  <si>
    <t>https://www.ram-e-shop.com/shop/dc-rs390-6vdc-dc-motor-6v-18000-rpm-model-rs390-motor-high-speed-motor-8568</t>
  </si>
  <si>
    <t>JGB37-520 Self-Balancing Geared Motor</t>
  </si>
  <si>
    <t>JGB37-520 Self-Balancing Geared Motor 12Vdc 107 rpm Torque 4.8 kg.cm - With Hall Encoder</t>
  </si>
  <si>
    <t>https://www.ram-e-shop.com/shop/dc-jgb37520-self-balance-12v-jgb37-520-self-balancing-geared-motor-12vdc-107-rpm-torque-4-8-kg-cm-with-hall-encoder-9322</t>
  </si>
  <si>
    <t>DC Geared Motor GA12-N20</t>
  </si>
  <si>
    <t>Micro Metal 12V DC Geared Motor 35 rpm (GA12-N20)</t>
  </si>
  <si>
    <t>https://www.ram-e-shop.com/shop/dc-micro-n20-12v-35rpm-micro-metal-12v-dc-geared-motor-35-rpm-ga12-n20-9339</t>
  </si>
  <si>
    <t>Small Stepper Motor Driver</t>
  </si>
  <si>
    <t>5V Small Stepper Motor Driver (SKU#M36)</t>
  </si>
  <si>
    <t>https://www.ram-e-shop.com/shop/kit-m36-step-uln2003-5v-small-stepper-motor-driver-sku-m36-7082</t>
  </si>
  <si>
    <t>https://www.ram-e-shop.com/shop/kit-a4988-driver-a4988-stepper-motor-driver-7155</t>
  </si>
  <si>
    <t>A4988 Stepper Motor Driver</t>
  </si>
  <si>
    <t>Reprap Driver A4988 Stepper Motor Driver Module</t>
  </si>
  <si>
    <t>https://www.ram-e-shop.com/shop/kit-l293d-blue-l293d-expansion-board-module-sku-k293-8238</t>
  </si>
  <si>
    <t>L293D Expansion Board Module</t>
  </si>
  <si>
    <t>L293D Expansion Board Module (SKU#K293) 4 Channel Motor Driver H-Bridge</t>
  </si>
  <si>
    <t>https://www.ram-e-shop.com/shop/kit-l298-big-red-l298-big-module-red-board-dual-h-bridge-motor-driver-using-l298n-7634</t>
  </si>
  <si>
    <t>L298 Big Module Red Board</t>
  </si>
  <si>
    <t>L298 Big Module Red Board (Dual H-Bridge Motor Driver Using L298N)</t>
  </si>
  <si>
    <t>https://store.fut-electronics.com/products/l293d-dual-motor-driver-with-thermal-shutdown?_pos=2&amp;_sid=6e81b72a6&amp;_ss=r</t>
  </si>
  <si>
    <t>L293D DUAL Motor Driver With Thermal Shutdown</t>
  </si>
  <si>
    <t>L293B - 1A ( PUSH-PULL FOUR CHANNEL DRIVERS)</t>
  </si>
  <si>
    <t>The L293B can be used as DC motors driver (control speed and direction). It is also used as a bipolar stepper motor driver, relays driver, solenoids driver and big LED driver.</t>
  </si>
  <si>
    <t>https://store.fut-electronics.com/products/l293b-1a-dual-motor-driver?_pos=15&amp;_sid=6e81b72a6&amp;_ss=r</t>
  </si>
  <si>
    <t>L297 Stepper Motor Controller IC</t>
  </si>
  <si>
    <t>The L297 integrates all the control circuitry required to control bipolar and unipolar stepper motors</t>
  </si>
  <si>
    <t>https://store.fut-electronics.com/products/l297-stepper-motor-controller-ic?_pos=16&amp;_sid=6e81b72a6&amp;_ss=r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</si>
</sst>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"/>
      <family val="2"/>
    </font>
    <font>
      <sz val="17"/>
      <color rgb="FF333333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0" borderId="0" xfId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store.fut-electronics.com/products/stepper-motor-driver-board-uln2003?_pos=6&amp;_sid=d332ff26a&amp;_ss=r" TargetMode="External"/><Relationship Id="rId1" Type="http://schemas.openxmlformats.org/officeDocument/2006/relationships/hyperlink" Target="https://www.ram-e-shop.com/shop/ro-base-2wd-2floor-2wd-robot-car-chassis-kit-with-speed-encoder-wheels-2-floor-71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44"/>
  <sheetViews>
    <sheetView tabSelected="1" topLeftCell="A29" workbookViewId="0">
      <selection activeCell="F32" sqref="F32:F34"/>
    </sheetView>
  </sheetViews>
  <sheetFormatPr defaultRowHeight="14.4" x14ac:dyDescent="0.3"/>
  <cols>
    <col min="1" max="1" width="33.44140625" style="1" bestFit="1" customWidth="1"/>
    <col min="2" max="2" width="42.6640625" style="1" bestFit="1" customWidth="1"/>
    <col min="3" max="3" width="7.6640625" style="1" bestFit="1" customWidth="1"/>
    <col min="4" max="4" width="4.44140625" style="1" bestFit="1" customWidth="1"/>
    <col min="5" max="5" width="4.88671875" style="1" bestFit="1" customWidth="1"/>
    <col min="6" max="6" width="25.21875" style="1" bestFit="1" customWidth="1"/>
    <col min="7" max="7" width="6.21875" bestFit="1" customWidth="1"/>
    <col min="8" max="8" width="11.5546875" style="1" bestFit="1" customWidth="1"/>
    <col min="9" max="9" width="8.88671875" style="1"/>
    <col min="10" max="10" width="9.109375" style="1" bestFit="1" customWidth="1"/>
    <col min="11" max="11" width="6.5546875" style="1" bestFit="1" customWidth="1"/>
    <col min="12" max="12" width="11.5546875" style="1" bestFit="1" customWidth="1"/>
    <col min="13" max="16384" width="8.88671875" style="1"/>
  </cols>
  <sheetData>
    <row r="1" spans="1:12" x14ac:dyDescent="0.3">
      <c r="A1" s="5" t="s">
        <v>0</v>
      </c>
      <c r="B1" s="5" t="s">
        <v>1</v>
      </c>
      <c r="C1" s="5" t="s">
        <v>3</v>
      </c>
      <c r="D1" s="5" t="s">
        <v>2</v>
      </c>
      <c r="E1" s="5" t="s">
        <v>5</v>
      </c>
      <c r="F1" s="5" t="s">
        <v>4</v>
      </c>
      <c r="G1" s="5" t="s">
        <v>10</v>
      </c>
      <c r="H1" s="5" t="s">
        <v>63</v>
      </c>
    </row>
    <row r="2" spans="1:12" ht="75.599999999999994" customHeight="1" x14ac:dyDescent="0.3">
      <c r="A2" s="9" t="s">
        <v>7</v>
      </c>
      <c r="B2" s="4" t="s">
        <v>8</v>
      </c>
      <c r="C2" s="6">
        <v>1</v>
      </c>
      <c r="D2" s="6">
        <v>350</v>
      </c>
      <c r="E2" s="6">
        <f>C2*D2</f>
        <v>350</v>
      </c>
      <c r="F2" s="7" t="s">
        <v>9</v>
      </c>
      <c r="G2" s="1" t="s">
        <v>12</v>
      </c>
      <c r="H2" s="1" t="s">
        <v>64</v>
      </c>
    </row>
    <row r="3" spans="1:12" ht="86.4" x14ac:dyDescent="0.3">
      <c r="A3" s="9" t="s">
        <v>7</v>
      </c>
      <c r="B3" s="6" t="s">
        <v>14</v>
      </c>
      <c r="C3" s="6">
        <v>1</v>
      </c>
      <c r="D3" s="6">
        <v>260</v>
      </c>
      <c r="E3" s="6">
        <f t="shared" ref="E3:E44" si="0">C3*D3</f>
        <v>260</v>
      </c>
      <c r="F3" s="7" t="s">
        <v>15</v>
      </c>
      <c r="G3" s="1" t="s">
        <v>13</v>
      </c>
      <c r="H3" s="1" t="s">
        <v>64</v>
      </c>
      <c r="J3" s="2" t="s">
        <v>6</v>
      </c>
      <c r="K3" s="2" t="s">
        <v>11</v>
      </c>
      <c r="L3" s="2" t="s">
        <v>63</v>
      </c>
    </row>
    <row r="4" spans="1:12" ht="57.6" x14ac:dyDescent="0.3">
      <c r="A4" s="9" t="s">
        <v>16</v>
      </c>
      <c r="B4" s="6" t="s">
        <v>17</v>
      </c>
      <c r="C4" s="6">
        <v>1</v>
      </c>
      <c r="D4" s="6">
        <v>35</v>
      </c>
      <c r="E4" s="6">
        <f t="shared" si="0"/>
        <v>35</v>
      </c>
      <c r="F4" s="7" t="s">
        <v>18</v>
      </c>
      <c r="G4" s="1" t="s">
        <v>12</v>
      </c>
      <c r="H4" s="1" t="s">
        <v>65</v>
      </c>
      <c r="J4" s="3">
        <f>SUM(E2:E34)</f>
        <v>5960</v>
      </c>
      <c r="K4" s="1" t="s">
        <v>12</v>
      </c>
      <c r="L4" s="1" t="s">
        <v>64</v>
      </c>
    </row>
    <row r="5" spans="1:12" ht="72" x14ac:dyDescent="0.3">
      <c r="A5" s="9" t="s">
        <v>19</v>
      </c>
      <c r="B5" s="6" t="s">
        <v>17</v>
      </c>
      <c r="C5" s="6">
        <v>1</v>
      </c>
      <c r="D5" s="6">
        <v>45</v>
      </c>
      <c r="E5" s="6">
        <f>C5*D5</f>
        <v>45</v>
      </c>
      <c r="F5" s="7" t="s">
        <v>20</v>
      </c>
      <c r="G5" s="1" t="s">
        <v>12</v>
      </c>
      <c r="H5" s="1" t="s">
        <v>65</v>
      </c>
      <c r="K5" s="1" t="s">
        <v>13</v>
      </c>
      <c r="L5" s="1" t="s">
        <v>65</v>
      </c>
    </row>
    <row r="6" spans="1:12" ht="57.6" x14ac:dyDescent="0.3">
      <c r="A6" s="9" t="s">
        <v>21</v>
      </c>
      <c r="B6" s="6" t="s">
        <v>22</v>
      </c>
      <c r="C6" s="6">
        <v>1</v>
      </c>
      <c r="D6" s="6">
        <v>3</v>
      </c>
      <c r="E6" s="6">
        <f t="shared" si="0"/>
        <v>3</v>
      </c>
      <c r="F6" s="7" t="s">
        <v>23</v>
      </c>
      <c r="G6" s="1" t="s">
        <v>12</v>
      </c>
      <c r="H6" s="1" t="s">
        <v>65</v>
      </c>
      <c r="L6" s="1" t="s">
        <v>66</v>
      </c>
    </row>
    <row r="7" spans="1:12" ht="57.6" x14ac:dyDescent="0.3">
      <c r="A7" s="9" t="s">
        <v>24</v>
      </c>
      <c r="B7" s="6" t="s">
        <v>25</v>
      </c>
      <c r="C7" s="6">
        <v>1</v>
      </c>
      <c r="D7" s="6">
        <v>2</v>
      </c>
      <c r="E7" s="6">
        <f t="shared" si="0"/>
        <v>2</v>
      </c>
      <c r="F7" s="7" t="s">
        <v>26</v>
      </c>
      <c r="G7" s="1" t="s">
        <v>12</v>
      </c>
      <c r="H7" s="1" t="s">
        <v>65</v>
      </c>
      <c r="L7" s="1" t="s">
        <v>67</v>
      </c>
    </row>
    <row r="8" spans="1:12" ht="72" x14ac:dyDescent="0.3">
      <c r="A8" s="9" t="s">
        <v>27</v>
      </c>
      <c r="B8" s="6" t="s">
        <v>28</v>
      </c>
      <c r="C8" s="6">
        <v>1</v>
      </c>
      <c r="D8" s="6">
        <v>20</v>
      </c>
      <c r="E8" s="6">
        <f t="shared" si="0"/>
        <v>20</v>
      </c>
      <c r="F8" s="7" t="s">
        <v>29</v>
      </c>
      <c r="G8" s="1" t="s">
        <v>13</v>
      </c>
      <c r="H8" s="1" t="s">
        <v>65</v>
      </c>
      <c r="L8" s="1" t="s">
        <v>68</v>
      </c>
    </row>
    <row r="9" spans="1:12" ht="72" x14ac:dyDescent="0.3">
      <c r="A9" s="9" t="s">
        <v>30</v>
      </c>
      <c r="B9" s="6" t="s">
        <v>31</v>
      </c>
      <c r="C9" s="6">
        <v>1</v>
      </c>
      <c r="D9" s="6">
        <v>60</v>
      </c>
      <c r="E9" s="6">
        <f t="shared" si="0"/>
        <v>60</v>
      </c>
      <c r="F9" s="7" t="s">
        <v>32</v>
      </c>
      <c r="G9" s="1" t="s">
        <v>13</v>
      </c>
      <c r="H9" s="1" t="s">
        <v>65</v>
      </c>
      <c r="L9" s="1" t="s">
        <v>69</v>
      </c>
    </row>
    <row r="10" spans="1:12" ht="86.4" x14ac:dyDescent="0.3">
      <c r="A10" s="9" t="s">
        <v>33</v>
      </c>
      <c r="B10" s="6" t="s">
        <v>34</v>
      </c>
      <c r="C10" s="6">
        <v>1</v>
      </c>
      <c r="D10" s="6">
        <v>75</v>
      </c>
      <c r="E10" s="6">
        <f t="shared" si="0"/>
        <v>75</v>
      </c>
      <c r="F10" s="7" t="s">
        <v>35</v>
      </c>
      <c r="G10" s="1" t="s">
        <v>13</v>
      </c>
      <c r="H10" s="1" t="s">
        <v>65</v>
      </c>
    </row>
    <row r="11" spans="1:12" ht="72" x14ac:dyDescent="0.3">
      <c r="A11" s="9" t="s">
        <v>36</v>
      </c>
      <c r="B11" s="6" t="s">
        <v>37</v>
      </c>
      <c r="C11" s="6">
        <v>1</v>
      </c>
      <c r="D11" s="6">
        <v>40</v>
      </c>
      <c r="E11" s="6">
        <f t="shared" si="0"/>
        <v>40</v>
      </c>
      <c r="F11" s="7" t="s">
        <v>38</v>
      </c>
      <c r="G11" s="1" t="s">
        <v>13</v>
      </c>
      <c r="H11" s="1" t="s">
        <v>65</v>
      </c>
    </row>
    <row r="12" spans="1:12" ht="86.4" x14ac:dyDescent="0.3">
      <c r="A12" s="9" t="s">
        <v>40</v>
      </c>
      <c r="B12" s="6" t="s">
        <v>41</v>
      </c>
      <c r="C12" s="6">
        <v>1</v>
      </c>
      <c r="D12" s="6">
        <v>35</v>
      </c>
      <c r="E12" s="6">
        <f t="shared" si="0"/>
        <v>35</v>
      </c>
      <c r="F12" s="7" t="s">
        <v>39</v>
      </c>
      <c r="G12" s="1" t="s">
        <v>13</v>
      </c>
      <c r="H12" s="1" t="s">
        <v>66</v>
      </c>
    </row>
    <row r="13" spans="1:12" ht="72" x14ac:dyDescent="0.3">
      <c r="A13" s="9" t="s">
        <v>43</v>
      </c>
      <c r="B13" s="6" t="s">
        <v>44</v>
      </c>
      <c r="C13" s="6">
        <v>1</v>
      </c>
      <c r="D13" s="6">
        <v>85</v>
      </c>
      <c r="E13" s="6">
        <f t="shared" si="0"/>
        <v>85</v>
      </c>
      <c r="F13" s="7" t="s">
        <v>42</v>
      </c>
      <c r="G13" s="1" t="s">
        <v>13</v>
      </c>
      <c r="H13" s="1" t="s">
        <v>66</v>
      </c>
    </row>
    <row r="14" spans="1:12" ht="86.4" x14ac:dyDescent="0.3">
      <c r="A14" s="9" t="s">
        <v>46</v>
      </c>
      <c r="B14" s="6" t="s">
        <v>47</v>
      </c>
      <c r="C14" s="6">
        <v>1</v>
      </c>
      <c r="D14" s="6">
        <v>30</v>
      </c>
      <c r="E14" s="6">
        <f t="shared" si="0"/>
        <v>30</v>
      </c>
      <c r="F14" s="7" t="s">
        <v>45</v>
      </c>
      <c r="G14" s="1" t="s">
        <v>13</v>
      </c>
      <c r="H14" s="1" t="s">
        <v>66</v>
      </c>
    </row>
    <row r="15" spans="1:12" ht="86.4" x14ac:dyDescent="0.3">
      <c r="A15" s="9" t="s">
        <v>48</v>
      </c>
      <c r="B15" s="6" t="s">
        <v>49</v>
      </c>
      <c r="C15" s="6">
        <v>1</v>
      </c>
      <c r="D15" s="6">
        <v>160</v>
      </c>
      <c r="E15" s="6">
        <f t="shared" si="0"/>
        <v>160</v>
      </c>
      <c r="F15" s="7" t="s">
        <v>50</v>
      </c>
      <c r="G15" s="1" t="s">
        <v>13</v>
      </c>
      <c r="H15" s="1" t="s">
        <v>66</v>
      </c>
    </row>
    <row r="16" spans="1:12" ht="72" x14ac:dyDescent="0.3">
      <c r="A16" s="9" t="s">
        <v>52</v>
      </c>
      <c r="B16" s="6" t="s">
        <v>53</v>
      </c>
      <c r="C16" s="6">
        <v>1</v>
      </c>
      <c r="D16" s="6">
        <v>30</v>
      </c>
      <c r="E16" s="6">
        <f t="shared" si="0"/>
        <v>30</v>
      </c>
      <c r="F16" s="7" t="s">
        <v>51</v>
      </c>
      <c r="G16" s="1" t="s">
        <v>13</v>
      </c>
      <c r="H16" s="1" t="s">
        <v>66</v>
      </c>
    </row>
    <row r="17" spans="1:8" ht="72" x14ac:dyDescent="0.3">
      <c r="A17" s="9" t="s">
        <v>55</v>
      </c>
      <c r="B17" s="6" t="s">
        <v>56</v>
      </c>
      <c r="C17" s="6">
        <v>1</v>
      </c>
      <c r="D17" s="6">
        <v>40</v>
      </c>
      <c r="E17" s="6">
        <f t="shared" si="0"/>
        <v>40</v>
      </c>
      <c r="F17" s="7" t="s">
        <v>54</v>
      </c>
      <c r="G17" s="1" t="s">
        <v>13</v>
      </c>
      <c r="H17" s="1" t="s">
        <v>66</v>
      </c>
    </row>
    <row r="18" spans="1:8" ht="72" x14ac:dyDescent="0.3">
      <c r="A18" s="9" t="s">
        <v>57</v>
      </c>
      <c r="B18" s="6" t="s">
        <v>59</v>
      </c>
      <c r="C18" s="6">
        <v>1</v>
      </c>
      <c r="D18" s="6">
        <v>40</v>
      </c>
      <c r="E18" s="6">
        <f t="shared" si="0"/>
        <v>40</v>
      </c>
      <c r="F18" s="7" t="s">
        <v>58</v>
      </c>
      <c r="G18" s="1" t="s">
        <v>13</v>
      </c>
      <c r="H18" s="1" t="s">
        <v>66</v>
      </c>
    </row>
    <row r="19" spans="1:8" ht="86.4" x14ac:dyDescent="0.3">
      <c r="A19" s="8" t="s">
        <v>61</v>
      </c>
      <c r="B19" s="6" t="s">
        <v>62</v>
      </c>
      <c r="C19" s="6">
        <v>1</v>
      </c>
      <c r="D19" s="6">
        <v>80</v>
      </c>
      <c r="E19" s="6">
        <f t="shared" si="0"/>
        <v>80</v>
      </c>
      <c r="F19" s="7" t="s">
        <v>60</v>
      </c>
      <c r="G19" s="1" t="s">
        <v>13</v>
      </c>
      <c r="H19" s="1" t="s">
        <v>69</v>
      </c>
    </row>
    <row r="20" spans="1:8" ht="72" x14ac:dyDescent="0.3">
      <c r="A20" s="9" t="s">
        <v>70</v>
      </c>
      <c r="B20" s="6" t="s">
        <v>72</v>
      </c>
      <c r="C20" s="6">
        <v>1</v>
      </c>
      <c r="D20" s="6">
        <v>500</v>
      </c>
      <c r="E20" s="6">
        <f t="shared" si="0"/>
        <v>500</v>
      </c>
      <c r="F20" s="7" t="s">
        <v>71</v>
      </c>
      <c r="G20" s="1" t="s">
        <v>12</v>
      </c>
      <c r="H20" s="1" t="s">
        <v>66</v>
      </c>
    </row>
    <row r="21" spans="1:8" ht="72" x14ac:dyDescent="0.3">
      <c r="A21" s="9" t="s">
        <v>73</v>
      </c>
      <c r="B21" s="6" t="s">
        <v>74</v>
      </c>
      <c r="C21" s="6">
        <v>1</v>
      </c>
      <c r="D21" s="6">
        <v>600</v>
      </c>
      <c r="E21" s="6">
        <f t="shared" si="0"/>
        <v>600</v>
      </c>
      <c r="F21" s="7" t="s">
        <v>75</v>
      </c>
      <c r="G21" s="1" t="s">
        <v>12</v>
      </c>
      <c r="H21" s="1" t="s">
        <v>66</v>
      </c>
    </row>
    <row r="22" spans="1:8" ht="86.4" x14ac:dyDescent="0.3">
      <c r="A22" s="9" t="s">
        <v>77</v>
      </c>
      <c r="B22" s="6" t="s">
        <v>78</v>
      </c>
      <c r="C22" s="6">
        <v>1</v>
      </c>
      <c r="D22" s="6">
        <v>850</v>
      </c>
      <c r="E22" s="6">
        <f t="shared" si="0"/>
        <v>850</v>
      </c>
      <c r="F22" s="7" t="s">
        <v>76</v>
      </c>
      <c r="G22" s="1" t="s">
        <v>12</v>
      </c>
      <c r="H22" s="1" t="s">
        <v>66</v>
      </c>
    </row>
    <row r="23" spans="1:8" ht="86.4" x14ac:dyDescent="0.3">
      <c r="A23" s="9" t="s">
        <v>80</v>
      </c>
      <c r="B23" s="6" t="s">
        <v>81</v>
      </c>
      <c r="C23" s="6">
        <v>1</v>
      </c>
      <c r="D23" s="6">
        <v>350</v>
      </c>
      <c r="E23" s="6">
        <f t="shared" si="0"/>
        <v>350</v>
      </c>
      <c r="F23" s="7" t="s">
        <v>79</v>
      </c>
      <c r="G23" s="1" t="s">
        <v>12</v>
      </c>
      <c r="H23" s="1" t="s">
        <v>66</v>
      </c>
    </row>
    <row r="24" spans="1:8" ht="86.4" x14ac:dyDescent="0.3">
      <c r="A24" s="9" t="s">
        <v>82</v>
      </c>
      <c r="B24" s="6" t="s">
        <v>83</v>
      </c>
      <c r="C24" s="6">
        <v>1</v>
      </c>
      <c r="D24" s="6">
        <v>450</v>
      </c>
      <c r="E24" s="6">
        <f t="shared" si="0"/>
        <v>450</v>
      </c>
      <c r="F24" s="7" t="s">
        <v>84</v>
      </c>
      <c r="G24" s="1" t="s">
        <v>12</v>
      </c>
      <c r="H24" s="1" t="s">
        <v>66</v>
      </c>
    </row>
    <row r="25" spans="1:8" ht="72" x14ac:dyDescent="0.3">
      <c r="A25" s="9" t="s">
        <v>85</v>
      </c>
      <c r="B25" s="6" t="s">
        <v>86</v>
      </c>
      <c r="C25" s="6">
        <v>1</v>
      </c>
      <c r="D25" s="6">
        <v>350</v>
      </c>
      <c r="E25" s="6">
        <f t="shared" si="0"/>
        <v>350</v>
      </c>
      <c r="F25" s="7" t="s">
        <v>87</v>
      </c>
      <c r="G25" s="1" t="s">
        <v>12</v>
      </c>
      <c r="H25" s="1" t="s">
        <v>66</v>
      </c>
    </row>
    <row r="26" spans="1:8" ht="100.8" x14ac:dyDescent="0.3">
      <c r="A26" s="9" t="s">
        <v>88</v>
      </c>
      <c r="B26" s="6" t="s">
        <v>89</v>
      </c>
      <c r="C26" s="6">
        <v>1</v>
      </c>
      <c r="D26" s="6">
        <v>750</v>
      </c>
      <c r="E26" s="6">
        <f t="shared" si="0"/>
        <v>750</v>
      </c>
      <c r="F26" s="7" t="s">
        <v>90</v>
      </c>
      <c r="G26" s="1" t="s">
        <v>12</v>
      </c>
      <c r="H26" s="1" t="s">
        <v>66</v>
      </c>
    </row>
    <row r="27" spans="1:8" ht="72" x14ac:dyDescent="0.3">
      <c r="A27" s="9" t="s">
        <v>91</v>
      </c>
      <c r="B27" s="6" t="s">
        <v>92</v>
      </c>
      <c r="C27" s="6">
        <v>1</v>
      </c>
      <c r="D27" s="6">
        <v>275</v>
      </c>
      <c r="E27" s="6">
        <f t="shared" si="0"/>
        <v>275</v>
      </c>
      <c r="F27" s="7" t="s">
        <v>93</v>
      </c>
      <c r="G27" s="1" t="s">
        <v>12</v>
      </c>
      <c r="H27" s="1" t="s">
        <v>66</v>
      </c>
    </row>
    <row r="28" spans="1:8" ht="57.6" x14ac:dyDescent="0.3">
      <c r="A28" s="9" t="s">
        <v>94</v>
      </c>
      <c r="B28" s="1" t="s">
        <v>95</v>
      </c>
      <c r="C28" s="6">
        <v>1</v>
      </c>
      <c r="D28" s="1">
        <v>30</v>
      </c>
      <c r="E28" s="6">
        <f t="shared" si="0"/>
        <v>30</v>
      </c>
      <c r="F28" s="7" t="s">
        <v>96</v>
      </c>
      <c r="G28" s="1" t="s">
        <v>12</v>
      </c>
      <c r="H28" s="1" t="s">
        <v>69</v>
      </c>
    </row>
    <row r="29" spans="1:8" ht="57.6" x14ac:dyDescent="0.3">
      <c r="A29" s="9" t="s">
        <v>98</v>
      </c>
      <c r="B29" s="1" t="s">
        <v>99</v>
      </c>
      <c r="C29" s="6">
        <v>1</v>
      </c>
      <c r="D29" s="1">
        <v>85</v>
      </c>
      <c r="E29" s="6">
        <f t="shared" si="0"/>
        <v>85</v>
      </c>
      <c r="F29" s="7" t="s">
        <v>97</v>
      </c>
      <c r="G29" s="1" t="s">
        <v>12</v>
      </c>
      <c r="H29" s="1" t="s">
        <v>69</v>
      </c>
    </row>
    <row r="30" spans="1:8" ht="57.6" x14ac:dyDescent="0.3">
      <c r="A30" s="9" t="s">
        <v>101</v>
      </c>
      <c r="B30" s="6" t="s">
        <v>102</v>
      </c>
      <c r="C30" s="6">
        <v>1</v>
      </c>
      <c r="D30" s="1">
        <v>75</v>
      </c>
      <c r="E30" s="6">
        <f t="shared" si="0"/>
        <v>75</v>
      </c>
      <c r="F30" s="7" t="s">
        <v>100</v>
      </c>
      <c r="G30" s="1" t="s">
        <v>12</v>
      </c>
      <c r="H30" s="1" t="s">
        <v>69</v>
      </c>
    </row>
    <row r="31" spans="1:8" ht="72" x14ac:dyDescent="0.3">
      <c r="A31" s="9" t="s">
        <v>104</v>
      </c>
      <c r="B31" s="1" t="s">
        <v>105</v>
      </c>
      <c r="C31" s="6">
        <v>1</v>
      </c>
      <c r="D31" s="1">
        <v>140</v>
      </c>
      <c r="E31" s="6">
        <f t="shared" si="0"/>
        <v>140</v>
      </c>
      <c r="F31" s="7" t="s">
        <v>103</v>
      </c>
      <c r="G31" s="1" t="s">
        <v>12</v>
      </c>
      <c r="H31" s="1" t="s">
        <v>69</v>
      </c>
    </row>
    <row r="32" spans="1:8" ht="86.4" x14ac:dyDescent="0.3">
      <c r="A32" s="9" t="s">
        <v>46</v>
      </c>
      <c r="B32" s="1" t="s">
        <v>107</v>
      </c>
      <c r="C32" s="6">
        <v>1</v>
      </c>
      <c r="D32" s="1">
        <v>30</v>
      </c>
      <c r="E32" s="6">
        <f t="shared" si="0"/>
        <v>30</v>
      </c>
      <c r="F32" s="7" t="s">
        <v>106</v>
      </c>
      <c r="G32" s="1" t="s">
        <v>13</v>
      </c>
      <c r="H32" s="1" t="s">
        <v>69</v>
      </c>
    </row>
    <row r="33" spans="1:8" ht="72" x14ac:dyDescent="0.3">
      <c r="A33" s="9" t="s">
        <v>108</v>
      </c>
      <c r="B33" s="1" t="s">
        <v>109</v>
      </c>
      <c r="C33" s="6">
        <v>1</v>
      </c>
      <c r="D33" s="1">
        <v>65</v>
      </c>
      <c r="E33" s="6">
        <f t="shared" si="0"/>
        <v>65</v>
      </c>
      <c r="F33" s="7" t="s">
        <v>110</v>
      </c>
      <c r="G33" s="1" t="s">
        <v>13</v>
      </c>
      <c r="H33" s="1" t="s">
        <v>69</v>
      </c>
    </row>
    <row r="34" spans="1:8" ht="72" x14ac:dyDescent="0.3">
      <c r="A34" s="9" t="s">
        <v>111</v>
      </c>
      <c r="B34" s="1" t="s">
        <v>112</v>
      </c>
      <c r="C34" s="6">
        <v>1</v>
      </c>
      <c r="D34" s="1">
        <v>20</v>
      </c>
      <c r="E34" s="6">
        <f t="shared" si="0"/>
        <v>20</v>
      </c>
      <c r="F34" s="7" t="s">
        <v>113</v>
      </c>
      <c r="G34" s="1" t="s">
        <v>13</v>
      </c>
      <c r="H34" s="1" t="s">
        <v>69</v>
      </c>
    </row>
    <row r="35" spans="1:8" ht="21.6" x14ac:dyDescent="0.3">
      <c r="A35" s="9"/>
      <c r="C35" s="6">
        <v>1</v>
      </c>
      <c r="E35" s="6">
        <f t="shared" si="0"/>
        <v>0</v>
      </c>
      <c r="G35" s="1" t="s">
        <v>13</v>
      </c>
      <c r="H35" s="1" t="s">
        <v>69</v>
      </c>
    </row>
    <row r="36" spans="1:8" ht="21.6" x14ac:dyDescent="0.3">
      <c r="A36" s="9"/>
      <c r="C36" s="6">
        <v>1</v>
      </c>
      <c r="E36" s="6">
        <f t="shared" si="0"/>
        <v>0</v>
      </c>
      <c r="G36" s="1" t="s">
        <v>13</v>
      </c>
    </row>
    <row r="37" spans="1:8" ht="21.6" x14ac:dyDescent="0.3">
      <c r="A37" s="9"/>
      <c r="C37" s="6">
        <v>1</v>
      </c>
      <c r="E37" s="6">
        <f t="shared" si="0"/>
        <v>0</v>
      </c>
      <c r="G37" s="1" t="s">
        <v>13</v>
      </c>
    </row>
    <row r="38" spans="1:8" ht="21.6" x14ac:dyDescent="0.3">
      <c r="A38" s="9"/>
      <c r="C38" s="6">
        <v>1</v>
      </c>
      <c r="E38" s="6">
        <f t="shared" si="0"/>
        <v>0</v>
      </c>
      <c r="G38" s="1" t="s">
        <v>13</v>
      </c>
    </row>
    <row r="39" spans="1:8" x14ac:dyDescent="0.3">
      <c r="C39" s="6">
        <v>1</v>
      </c>
      <c r="E39" s="6">
        <f t="shared" si="0"/>
        <v>0</v>
      </c>
      <c r="G39" s="1" t="s">
        <v>13</v>
      </c>
    </row>
    <row r="40" spans="1:8" x14ac:dyDescent="0.3">
      <c r="E40" s="6">
        <f>C40*D40</f>
        <v>0</v>
      </c>
    </row>
    <row r="41" spans="1:8" x14ac:dyDescent="0.3">
      <c r="E41" s="6">
        <f t="shared" si="0"/>
        <v>0</v>
      </c>
    </row>
    <row r="42" spans="1:8" x14ac:dyDescent="0.3">
      <c r="E42" s="6">
        <f t="shared" si="0"/>
        <v>0</v>
      </c>
    </row>
    <row r="43" spans="1:8" x14ac:dyDescent="0.3">
      <c r="E43" s="6">
        <f t="shared" si="0"/>
        <v>0</v>
      </c>
    </row>
    <row r="44" spans="1:8" x14ac:dyDescent="0.3">
      <c r="E44" s="6">
        <f t="shared" si="0"/>
        <v>0</v>
      </c>
    </row>
  </sheetData>
  <dataValidations count="3">
    <dataValidation type="list" allowBlank="1" showInputMessage="1" showErrorMessage="1" sqref="H36:H56" xr:uid="{D626CD92-1D31-4F2E-84BE-B83415C68F3E}">
      <formula1>$L$4:$L$7</formula1>
    </dataValidation>
    <dataValidation type="list" allowBlank="1" showInputMessage="1" showErrorMessage="1" sqref="G2:G39" xr:uid="{9524383D-FF88-4EBF-A2C1-6C00F40D5ACB}">
      <formula1>$K$4:$K$5</formula1>
    </dataValidation>
    <dataValidation type="list" allowBlank="1" showInputMessage="1" showErrorMessage="1" sqref="H2:H35" xr:uid="{688D04B9-EF58-4BA7-8B5E-526FB7D00083}">
      <formula1>$L$4:$L$9</formula1>
    </dataValidation>
  </dataValidations>
  <hyperlinks>
    <hyperlink ref="F2" r:id="rId1" xr:uid="{016E39A5-076D-4789-9136-DD7E9D5C4229}"/>
    <hyperlink ref="F16" r:id="rId2" xr:uid="{452069C4-3A92-4021-AFA9-BC017FC08004}"/>
  </hyperlinks>
  <pageMargins left="0.7" right="0.7" top="0.75" bottom="0.75" header="0.3" footer="0.3"/>
  <pageSetup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2025-09-10T17:29:01Z</dcterms:modified>
</cp:coreProperties>
</file>